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ddy\Downloads\"/>
    </mc:Choice>
  </mc:AlternateContent>
  <xr:revisionPtr revIDLastSave="0" documentId="8_{D3C4088D-14CC-4ADE-8421-51DBDFC06A47}" xr6:coauthVersionLast="47" xr6:coauthVersionMax="47" xr10:uidLastSave="{00000000-0000-0000-0000-000000000000}"/>
  <bookViews>
    <workbookView xWindow="-110" yWindow="-110" windowWidth="19420" windowHeight="11500" xr2:uid="{9D17ABD0-BD02-44E8-BA7D-7C4B60EF0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O4" i="1"/>
  <c r="O5" i="1"/>
  <c r="O6" i="1"/>
  <c r="O7" i="1"/>
  <c r="O8" i="1"/>
  <c r="O9" i="1"/>
  <c r="O10" i="1"/>
  <c r="O11" i="1"/>
  <c r="O12" i="1"/>
  <c r="O3" i="1"/>
  <c r="N3" i="1"/>
  <c r="N4" i="1"/>
  <c r="N5" i="1"/>
  <c r="N6" i="1"/>
  <c r="N7" i="1"/>
  <c r="N8" i="1"/>
  <c r="N9" i="1"/>
  <c r="N10" i="1"/>
  <c r="N11" i="1"/>
  <c r="N12" i="1"/>
  <c r="N2" i="1"/>
  <c r="M3" i="1"/>
  <c r="M4" i="1"/>
  <c r="M5" i="1"/>
  <c r="M6" i="1"/>
  <c r="M7" i="1"/>
  <c r="M8" i="1"/>
  <c r="M9" i="1"/>
  <c r="M10" i="1"/>
  <c r="M11" i="1"/>
  <c r="M12" i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P4" i="1"/>
  <c r="P5" i="1"/>
  <c r="P6" i="1"/>
  <c r="P7" i="1"/>
  <c r="P8" i="1"/>
  <c r="P9" i="1"/>
  <c r="P10" i="1"/>
  <c r="P11" i="1"/>
  <c r="P12" i="1"/>
  <c r="P3" i="1"/>
</calcChain>
</file>

<file path=xl/sharedStrings.xml><?xml version="1.0" encoding="utf-8"?>
<sst xmlns="http://schemas.openxmlformats.org/spreadsheetml/2006/main" count="16" uniqueCount="16">
  <si>
    <t>Year</t>
  </si>
  <si>
    <t>Net Profit</t>
  </si>
  <si>
    <t>Total Assets</t>
  </si>
  <si>
    <t>Shareholder Equity</t>
  </si>
  <si>
    <t>Loan Volumes</t>
  </si>
  <si>
    <t>Net NPA %</t>
  </si>
  <si>
    <t>CAR</t>
  </si>
  <si>
    <t>Current Ratio</t>
  </si>
  <si>
    <t>Quick Ratio</t>
  </si>
  <si>
    <t>ROA</t>
  </si>
  <si>
    <t>ROE</t>
  </si>
  <si>
    <t>Loan Growth %</t>
  </si>
  <si>
    <t>Net Profit Growth %</t>
  </si>
  <si>
    <t>Raw Total Assets</t>
  </si>
  <si>
    <t>Raw Shareholder Equity</t>
  </si>
  <si>
    <t>Raw Loan Volumes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</si>
</sst>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3" fontId="0" fillId="0" borderId="1" xfId="0" applyNumberFormat="1" applyBorder="1"/>
    <xf numFmtId="10" fontId="0" fillId="0" borderId="0" xfId="0" applyNumberFormat="1"/>
    <xf numFmtId="10" fontId="0" fillId="0" borderId="1" xfId="0" applyNumberFormat="1" applyBorder="1"/>
    <xf numFmtId="0" fontId="1" fillId="0" borderId="2" xfId="0" applyFont="1" applyBorder="1"/>
    <xf numFmtId="10" fontId="0" fillId="0" borderId="2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49BC-E2F3-4F6E-8F5A-B7D8A3B43F2B}">
  <dimension ref="A1:P12"/>
  <sheetViews>
    <sheetView tabSelected="1" workbookViewId="0">
      <selection activeCell="I19" sqref="I19"/>
    </sheetView>
  </sheetViews>
  <sheetFormatPr defaultRowHeight="14.5" x14ac:dyDescent="0.35"/>
  <cols>
    <col min="1" max="1" width="7.7265625" customWidth="1"/>
    <col min="2" max="2" width="17.36328125" customWidth="1"/>
    <col min="3" max="3" width="13.54296875" bestFit="1" customWidth="1"/>
    <col min="4" max="4" width="20.7265625" bestFit="1" customWidth="1"/>
    <col min="5" max="5" width="16.453125" bestFit="1" customWidth="1"/>
    <col min="6" max="6" width="9.453125" bestFit="1" customWidth="1"/>
    <col min="7" max="7" width="6.90625" bestFit="1" customWidth="1"/>
    <col min="8" max="8" width="10.90625" bestFit="1" customWidth="1"/>
    <col min="9" max="9" width="16.7265625" bestFit="1" customWidth="1"/>
    <col min="10" max="10" width="12.453125" bestFit="1" customWidth="1"/>
    <col min="11" max="11" width="11.90625" bestFit="1" customWidth="1"/>
    <col min="12" max="12" width="10.453125" bestFit="1" customWidth="1"/>
    <col min="13" max="13" width="12.26953125" customWidth="1"/>
    <col min="14" max="14" width="11.36328125" bestFit="1" customWidth="1"/>
    <col min="15" max="15" width="13.1796875" bestFit="1" customWidth="1"/>
    <col min="16" max="16" width="17.08984375" bestFit="1" customWidth="1"/>
  </cols>
  <sheetData>
    <row r="1" spans="1:16" x14ac:dyDescent="0.35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7" t="s">
        <v>5</v>
      </c>
      <c r="G1" s="2" t="s">
        <v>6</v>
      </c>
      <c r="H1" s="2" t="s">
        <v>2</v>
      </c>
      <c r="I1" s="2" t="s">
        <v>3</v>
      </c>
      <c r="J1" s="2" t="s">
        <v>4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</row>
    <row r="2" spans="1:16" x14ac:dyDescent="0.35">
      <c r="A2" s="1">
        <v>2015</v>
      </c>
      <c r="B2" s="3">
        <v>122468.7</v>
      </c>
      <c r="C2" s="4">
        <v>8260791703</v>
      </c>
      <c r="D2" s="4">
        <v>847045441</v>
      </c>
      <c r="E2" s="4">
        <v>4384900954</v>
      </c>
      <c r="F2" s="5">
        <v>1.4E-2</v>
      </c>
      <c r="G2" s="6">
        <v>0.17019999999999999</v>
      </c>
      <c r="H2" s="1">
        <f>C2/1000000</f>
        <v>8260.7917030000008</v>
      </c>
      <c r="I2" s="1">
        <f>D2/1000000</f>
        <v>847.04544099999998</v>
      </c>
      <c r="J2" s="1">
        <f>E2/1000000</f>
        <v>4384.9009539999997</v>
      </c>
      <c r="K2" s="1">
        <v>1.27</v>
      </c>
      <c r="L2" s="1">
        <v>0.59</v>
      </c>
      <c r="M2" s="9">
        <f>B2/H2</f>
        <v>14.825298155808007</v>
      </c>
      <c r="N2" s="9">
        <f>B2/I2</f>
        <v>144.58338841351488</v>
      </c>
      <c r="O2" s="9">
        <v>13.2</v>
      </c>
      <c r="P2" s="9">
        <v>10.92</v>
      </c>
    </row>
    <row r="3" spans="1:16" x14ac:dyDescent="0.35">
      <c r="A3" s="1">
        <v>2016</v>
      </c>
      <c r="B3" s="3">
        <v>101799.6</v>
      </c>
      <c r="C3" s="4">
        <v>9187561977</v>
      </c>
      <c r="D3" s="4">
        <v>941107126</v>
      </c>
      <c r="E3" s="4">
        <v>4937291077</v>
      </c>
      <c r="F3" s="8">
        <v>2.6700000000000002E-2</v>
      </c>
      <c r="G3" s="6">
        <v>0.16639999999999999</v>
      </c>
      <c r="H3" s="1">
        <f t="shared" ref="H3:H12" si="0">C3/1000000</f>
        <v>9187.5619769999994</v>
      </c>
      <c r="I3" s="1">
        <f t="shared" ref="I3:I12" si="1">D3/1000000</f>
        <v>941.10712599999999</v>
      </c>
      <c r="J3" s="1">
        <f t="shared" ref="J3:J12" si="2">E3/1000000</f>
        <v>4937.2910769999999</v>
      </c>
      <c r="K3" s="1">
        <v>1.25</v>
      </c>
      <c r="L3" s="1">
        <v>0.56999999999999995</v>
      </c>
      <c r="M3" s="9">
        <f t="shared" ref="M3:M12" si="3">B3/H3</f>
        <v>11.080153826972111</v>
      </c>
      <c r="N3" s="9">
        <f t="shared" ref="N3:N12" si="4">B3/I3</f>
        <v>108.17004482016854</v>
      </c>
      <c r="O3" s="9">
        <f>(J3-J2)/J2*100</f>
        <v>12.597550749603547</v>
      </c>
      <c r="P3" s="9">
        <f>(B3-B2)/B2*100</f>
        <v>-16.87704695158844</v>
      </c>
    </row>
    <row r="4" spans="1:16" x14ac:dyDescent="0.35">
      <c r="A4" s="1">
        <v>2017</v>
      </c>
      <c r="B4" s="3">
        <v>101883.8</v>
      </c>
      <c r="C4" s="4">
        <v>9860426640</v>
      </c>
      <c r="D4" s="4">
        <v>1046319955</v>
      </c>
      <c r="E4" s="4">
        <v>5153173140</v>
      </c>
      <c r="F4" s="8">
        <v>4.8899999999999999E-2</v>
      </c>
      <c r="G4" s="6">
        <v>0.1739</v>
      </c>
      <c r="H4" s="1">
        <f t="shared" si="0"/>
        <v>9860.4266399999997</v>
      </c>
      <c r="I4" s="1">
        <f t="shared" si="1"/>
        <v>1046.3199549999999</v>
      </c>
      <c r="J4" s="1">
        <f t="shared" si="2"/>
        <v>5153.1731399999999</v>
      </c>
      <c r="K4" s="1">
        <v>1.28</v>
      </c>
      <c r="L4" s="1">
        <v>0.6</v>
      </c>
      <c r="M4" s="9">
        <f t="shared" si="3"/>
        <v>10.332595507246733</v>
      </c>
      <c r="N4" s="9">
        <f t="shared" si="4"/>
        <v>97.373465461623553</v>
      </c>
      <c r="O4" s="9">
        <f t="shared" ref="O4:O12" si="5">(J4-J3)/J3*100</f>
        <v>4.3724799618493311</v>
      </c>
      <c r="P4" s="9">
        <f t="shared" ref="P4:P12" si="6">(B4-B3)/B3*100</f>
        <v>8.2711523424450678E-2</v>
      </c>
    </row>
    <row r="5" spans="1:16" x14ac:dyDescent="0.35">
      <c r="A5" s="1">
        <v>2018</v>
      </c>
      <c r="B5" s="3">
        <v>77121.899999999994</v>
      </c>
      <c r="C5" s="4">
        <v>11242810402</v>
      </c>
      <c r="D5" s="4">
        <v>1106296971</v>
      </c>
      <c r="E5" s="4">
        <v>5668542198</v>
      </c>
      <c r="F5" s="8">
        <v>4.7699999999999999E-2</v>
      </c>
      <c r="G5" s="6">
        <v>0.1842</v>
      </c>
      <c r="H5" s="1">
        <f t="shared" si="0"/>
        <v>11242.810401999999</v>
      </c>
      <c r="I5" s="1">
        <f t="shared" si="1"/>
        <v>1106.296971</v>
      </c>
      <c r="J5" s="1">
        <f t="shared" si="2"/>
        <v>5668.5421980000001</v>
      </c>
      <c r="K5" s="1">
        <v>1.28</v>
      </c>
      <c r="L5" s="1">
        <v>0.62</v>
      </c>
      <c r="M5" s="9">
        <f t="shared" si="3"/>
        <v>6.8596638422614218</v>
      </c>
      <c r="N5" s="9">
        <f t="shared" si="4"/>
        <v>69.711751927051054</v>
      </c>
      <c r="O5" s="9">
        <f t="shared" si="5"/>
        <v>10.001004119182385</v>
      </c>
      <c r="P5" s="9">
        <f t="shared" si="6"/>
        <v>-24.3040601155434</v>
      </c>
    </row>
    <row r="6" spans="1:16" x14ac:dyDescent="0.35">
      <c r="A6" s="1">
        <v>2019</v>
      </c>
      <c r="B6" s="3">
        <v>42542.400000000001</v>
      </c>
      <c r="C6" s="4">
        <v>12387938907</v>
      </c>
      <c r="D6" s="4">
        <v>1142534068</v>
      </c>
      <c r="E6" s="4">
        <v>6469616813</v>
      </c>
      <c r="F6" s="8">
        <v>2.06E-2</v>
      </c>
      <c r="G6" s="6">
        <v>0.1739</v>
      </c>
      <c r="H6" s="1">
        <f t="shared" si="0"/>
        <v>12387.938907</v>
      </c>
      <c r="I6" s="1">
        <f t="shared" si="1"/>
        <v>1142.5340679999999</v>
      </c>
      <c r="J6" s="1">
        <f t="shared" si="2"/>
        <v>6469.6168129999996</v>
      </c>
      <c r="K6" s="1">
        <v>1.27</v>
      </c>
      <c r="L6" s="1">
        <v>0.6</v>
      </c>
      <c r="M6" s="9">
        <f t="shared" si="3"/>
        <v>3.4341790284387623</v>
      </c>
      <c r="N6" s="9">
        <f t="shared" si="4"/>
        <v>37.235126016391142</v>
      </c>
      <c r="O6" s="9">
        <f t="shared" si="5"/>
        <v>14.131933520449724</v>
      </c>
      <c r="P6" s="9">
        <f t="shared" si="6"/>
        <v>-44.83745862070306</v>
      </c>
    </row>
    <row r="7" spans="1:16" x14ac:dyDescent="0.35">
      <c r="A7" s="1">
        <v>2020</v>
      </c>
      <c r="B7" s="3">
        <v>95663.1</v>
      </c>
      <c r="C7" s="4">
        <v>13772922323</v>
      </c>
      <c r="D7" s="4">
        <v>1229500572</v>
      </c>
      <c r="E7" s="4">
        <v>7062461122</v>
      </c>
      <c r="F7" s="8">
        <v>1.41E-2</v>
      </c>
      <c r="G7" s="6">
        <v>0.16109999999999999</v>
      </c>
      <c r="H7" s="1">
        <f t="shared" si="0"/>
        <v>13772.922323000001</v>
      </c>
      <c r="I7" s="1">
        <f t="shared" si="1"/>
        <v>1229.5005719999999</v>
      </c>
      <c r="J7" s="1">
        <f t="shared" si="2"/>
        <v>7062.4611219999997</v>
      </c>
      <c r="K7" s="1">
        <v>1.24</v>
      </c>
      <c r="L7" s="1">
        <v>0.59</v>
      </c>
      <c r="M7" s="9">
        <f t="shared" si="3"/>
        <v>6.9457372775745672</v>
      </c>
      <c r="N7" s="9">
        <f t="shared" si="4"/>
        <v>77.806470512158498</v>
      </c>
      <c r="O7" s="9">
        <f t="shared" si="5"/>
        <v>9.1635150293405818</v>
      </c>
      <c r="P7" s="9">
        <f t="shared" si="6"/>
        <v>124.86531084282974</v>
      </c>
    </row>
    <row r="8" spans="1:16" x14ac:dyDescent="0.35">
      <c r="A8" s="1">
        <v>2021</v>
      </c>
      <c r="B8" s="3">
        <v>183843.20000000001</v>
      </c>
      <c r="C8" s="4">
        <v>15738122446</v>
      </c>
      <c r="D8" s="4">
        <v>1575875005</v>
      </c>
      <c r="E8" s="4">
        <v>7918013918</v>
      </c>
      <c r="F8" s="8">
        <v>1.14E-2</v>
      </c>
      <c r="G8" s="6">
        <v>0.19120000000000001</v>
      </c>
      <c r="H8" s="1">
        <f t="shared" si="0"/>
        <v>15738.122445999999</v>
      </c>
      <c r="I8" s="1">
        <f t="shared" si="1"/>
        <v>1575.8750050000001</v>
      </c>
      <c r="J8" s="1">
        <f t="shared" si="2"/>
        <v>7918.0139179999996</v>
      </c>
      <c r="K8" s="1">
        <v>1.29</v>
      </c>
      <c r="L8" s="1">
        <v>0.56000000000000005</v>
      </c>
      <c r="M8" s="9">
        <f t="shared" si="3"/>
        <v>11.68139342102562</v>
      </c>
      <c r="N8" s="9">
        <f t="shared" si="4"/>
        <v>116.66102921659069</v>
      </c>
      <c r="O8" s="9">
        <f t="shared" si="5"/>
        <v>12.114088576500627</v>
      </c>
      <c r="P8" s="9">
        <f t="shared" si="6"/>
        <v>92.177757149831024</v>
      </c>
    </row>
    <row r="9" spans="1:16" x14ac:dyDescent="0.35">
      <c r="A9" s="1">
        <v>2022</v>
      </c>
      <c r="B9" s="3">
        <v>251101</v>
      </c>
      <c r="C9" s="4">
        <v>17526373837</v>
      </c>
      <c r="D9" s="4">
        <v>1820524873</v>
      </c>
      <c r="E9" s="4">
        <v>9203081390</v>
      </c>
      <c r="F9" s="8">
        <v>7.6E-3</v>
      </c>
      <c r="G9" s="6">
        <v>0.19159999999999999</v>
      </c>
      <c r="H9" s="1">
        <f t="shared" si="0"/>
        <v>17526.373836999999</v>
      </c>
      <c r="I9" s="1">
        <f t="shared" si="1"/>
        <v>1820.5248730000001</v>
      </c>
      <c r="J9" s="1">
        <f t="shared" si="2"/>
        <v>9203.0813899999994</v>
      </c>
      <c r="K9" s="9">
        <v>1.3</v>
      </c>
      <c r="L9" s="1">
        <v>0.56000000000000005</v>
      </c>
      <c r="M9" s="9">
        <f t="shared" si="3"/>
        <v>14.327036632637588</v>
      </c>
      <c r="N9" s="9">
        <f t="shared" si="4"/>
        <v>137.92780517533748</v>
      </c>
      <c r="O9" s="9">
        <f t="shared" si="5"/>
        <v>16.229669274496466</v>
      </c>
      <c r="P9" s="9">
        <f t="shared" si="6"/>
        <v>36.584328384188261</v>
      </c>
    </row>
    <row r="10" spans="1:16" x14ac:dyDescent="0.35">
      <c r="A10" s="1">
        <v>2023</v>
      </c>
      <c r="B10" s="3">
        <v>340366.4</v>
      </c>
      <c r="C10" s="4">
        <v>19584904970</v>
      </c>
      <c r="D10" s="4">
        <v>2144977893</v>
      </c>
      <c r="E10" s="4">
        <v>10838663147</v>
      </c>
      <c r="F10" s="8">
        <v>4.7999999999999996E-3</v>
      </c>
      <c r="G10" s="6">
        <v>0.18340000000000001</v>
      </c>
      <c r="H10" s="1">
        <f t="shared" si="0"/>
        <v>19584.90497</v>
      </c>
      <c r="I10" s="1">
        <f t="shared" si="1"/>
        <v>2144.9778930000002</v>
      </c>
      <c r="J10" s="1">
        <f t="shared" si="2"/>
        <v>10838.663146999999</v>
      </c>
      <c r="K10" s="1">
        <v>1.29</v>
      </c>
      <c r="L10" s="1">
        <v>0.56999999999999995</v>
      </c>
      <c r="M10" s="9">
        <f t="shared" si="3"/>
        <v>17.379017182946281</v>
      </c>
      <c r="N10" s="9">
        <f t="shared" si="4"/>
        <v>158.68060976794411</v>
      </c>
      <c r="O10" s="9">
        <f t="shared" si="5"/>
        <v>17.772110097572437</v>
      </c>
      <c r="P10" s="9">
        <f t="shared" si="6"/>
        <v>35.549599563522257</v>
      </c>
    </row>
    <row r="11" spans="1:16" x14ac:dyDescent="0.35">
      <c r="A11" s="1">
        <v>2024</v>
      </c>
      <c r="B11" s="3">
        <v>442563.7</v>
      </c>
      <c r="C11" s="4">
        <v>23640630275</v>
      </c>
      <c r="D11" s="4">
        <v>2561438346</v>
      </c>
      <c r="E11" s="4">
        <v>12607762029</v>
      </c>
      <c r="F11" s="8">
        <v>4.1999999999999997E-3</v>
      </c>
      <c r="G11" s="6">
        <v>0.1633</v>
      </c>
      <c r="H11" s="1">
        <f t="shared" si="0"/>
        <v>23640.630275</v>
      </c>
      <c r="I11" s="1">
        <f t="shared" si="1"/>
        <v>2561.4383459999999</v>
      </c>
      <c r="J11" s="1">
        <f t="shared" si="2"/>
        <v>12607.762029</v>
      </c>
      <c r="K11" s="9">
        <v>1.3</v>
      </c>
      <c r="L11" s="1">
        <v>0.55000000000000004</v>
      </c>
      <c r="M11" s="9">
        <f t="shared" si="3"/>
        <v>18.720469583588546</v>
      </c>
      <c r="N11" s="9">
        <f t="shared" si="4"/>
        <v>172.77936854936115</v>
      </c>
      <c r="O11" s="9">
        <f t="shared" si="5"/>
        <v>16.322113327137249</v>
      </c>
      <c r="P11" s="9">
        <f t="shared" si="6"/>
        <v>30.025672334284458</v>
      </c>
    </row>
    <row r="12" spans="1:16" x14ac:dyDescent="0.35">
      <c r="A12" s="1">
        <v>2025</v>
      </c>
      <c r="B12" s="3">
        <v>510292</v>
      </c>
      <c r="C12" s="4">
        <v>26422414134</v>
      </c>
      <c r="D12" s="4">
        <v>3139059061</v>
      </c>
      <c r="E12" s="4">
        <v>14206637124</v>
      </c>
      <c r="F12" s="8">
        <v>3.8999999999999998E-3</v>
      </c>
      <c r="G12" s="6">
        <v>0.16550000000000001</v>
      </c>
      <c r="H12" s="1">
        <f t="shared" si="0"/>
        <v>26422.414133999999</v>
      </c>
      <c r="I12" s="1">
        <f t="shared" si="1"/>
        <v>3139.0590609999999</v>
      </c>
      <c r="J12" s="1">
        <f t="shared" si="2"/>
        <v>14206.637124000001</v>
      </c>
      <c r="K12" s="1">
        <v>1.29</v>
      </c>
      <c r="L12" s="1">
        <v>0.59</v>
      </c>
      <c r="M12" s="9">
        <f t="shared" si="3"/>
        <v>19.312845427828009</v>
      </c>
      <c r="N12" s="9">
        <f t="shared" si="4"/>
        <v>162.562089493607</v>
      </c>
      <c r="O12" s="9">
        <f t="shared" si="5"/>
        <v>12.681672538887682</v>
      </c>
      <c r="P12" s="9">
        <f t="shared" si="6"/>
        <v>15.303627477807147</v>
      </c>
    </row>
  </sheetData>
  <pageMargins left="0.7" right="0.7" top="0.75" bottom="0.75" header="0.3" footer="0.3"/>
  <headerFooter>
    <oddHeader>&amp;C&amp;"Aptos"&amp;8&amp;K000000 Internal Use&amp;1#_x000D_</oddHeader>
    <oddFooter>&amp;C_x000D_&amp;1#&amp;"Aptos"&amp;10&amp;K000000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Dussa Humasree Reddy</dc:creator>
  <cp:lastModifiedBy>Dussa Humasree Reddy</cp:lastModifiedBy>
  <dcterms:created xsi:type="dcterms:W3CDTF">2026-04-20T10:06:42Z</dcterms:created>
  <dcterms:modified xsi:type="dcterms:W3CDTF">2026-04-24T03:29:44Z</dcterms:modified>
</cp:coreProperties>
</file>